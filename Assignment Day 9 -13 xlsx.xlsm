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8_{812D37A6-CF11-4818-9136-CC508B092560}" xr6:coauthVersionLast="47" xr6:coauthVersionMax="47" xr10:uidLastSave="{00000000-0000-0000-0000-000000000000}"/>
  <bookViews>
    <workbookView xWindow="4530" yWindow="4185" windowWidth="21600" windowHeight="11295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1" l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J9" i="1"/>
  <c r="H9" i="1"/>
</calcChain>
</file>

<file path=xl/sharedStrings.xml><?xml version="1.0" encoding="utf-8"?>
<sst xmlns="http://schemas.openxmlformats.org/spreadsheetml/2006/main" count="48" uniqueCount="20">
  <si>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</si>
  <si>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</si>
  <si>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</si>
  <si>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</si>
  <si>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</si>
  <si>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</si>
  <si>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</si>
  <si>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</si>
  <si>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</si>
  <si>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</si>
  <si>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</si>
  <si>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</si>
  <si>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</si>
  <si>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</si>
  <si>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</si>
  <si>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</si>
  <si>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Profit = (Quantity*Product Margin)-Shipping Cost</t>
  </si>
  <si>
    <t>Note: Assign a Macro as a 'Command' into the 'Custom Tab'</t>
  </si>
  <si>
    <t>Sales = (Quantity*Unit Price)+Shipping Cost</t>
  </si>
  <si>
    <t>Profit%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</si>
</sst>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[$$-409]#,##0.00_ ;\-[$$-409]#,##0.00\ "/>
  </numFmts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166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K41"/>
  <sheetViews>
    <sheetView tabSelected="1" topLeftCell="A7" workbookViewId="0">
      <selection activeCell="B24" sqref="B24"/>
    </sheetView>
  </sheetViews>
  <sheetFormatPr defaultRowHeight="15" x14ac:dyDescent="0.25"/>
  <cols>
    <col min="4" max="4" width="12" bestFit="1" customWidth="1"/>
    <col min="5" max="5" width="18" bestFit="1" customWidth="1"/>
    <col min="7" max="7" width="11.7109375" bestFit="1" customWidth="1"/>
    <col min="8" max="8" width="18" bestFit="1" customWidth="1"/>
    <col min="9" max="9" width="20.28515625" bestFit="1" customWidth="1"/>
  </cols>
  <sheetData>
    <row r="2" spans="3:11" x14ac:dyDescent="0.25">
      <c r="C2" s="1" t="s">
        <v>0</v>
      </c>
      <c r="I2" s="1" t="s">
        <v>17</v>
      </c>
    </row>
    <row r="3" spans="3:11" x14ac:dyDescent="0.25">
      <c r="C3" s="1" t="s">
        <v>1</v>
      </c>
    </row>
    <row r="4" spans="3:11" x14ac:dyDescent="0.25">
      <c r="C4" s="1" t="s">
        <v>15</v>
      </c>
    </row>
    <row r="5" spans="3:11" x14ac:dyDescent="0.25">
      <c r="C5" s="1" t="s">
        <v>18</v>
      </c>
    </row>
    <row r="6" spans="3:11" x14ac:dyDescent="0.25">
      <c r="C6" s="1" t="s">
        <v>16</v>
      </c>
    </row>
    <row r="7" spans="3:11" ht="15.75" thickBot="1" x14ac:dyDescent="0.3"/>
    <row r="8" spans="3:11" ht="15.75" thickBot="1" x14ac:dyDescent="0.3">
      <c r="C8" s="2" t="s">
        <v>2</v>
      </c>
      <c r="D8" s="3" t="s">
        <v>3</v>
      </c>
      <c r="E8" s="3" t="s">
        <v>10</v>
      </c>
      <c r="F8" s="3" t="s">
        <v>11</v>
      </c>
      <c r="G8" s="3" t="s">
        <v>12</v>
      </c>
      <c r="H8" s="3" t="s">
        <v>13</v>
      </c>
      <c r="I8" s="3" t="s">
        <v>14</v>
      </c>
      <c r="J8" s="3" t="s">
        <v>9</v>
      </c>
      <c r="K8" s="4" t="s">
        <v>19</v>
      </c>
    </row>
    <row r="9" spans="3:11" x14ac:dyDescent="0.25">
      <c r="C9">
        <v>20847</v>
      </c>
      <c r="D9" t="s">
        <v>4</v>
      </c>
      <c r="E9">
        <v>4</v>
      </c>
      <c r="F9">
        <v>2.84</v>
      </c>
      <c r="G9">
        <v>0.93</v>
      </c>
      <c r="H9" s="5">
        <f>(E9*F9)+G9</f>
        <v>12.29</v>
      </c>
      <c r="I9">
        <v>0.54</v>
      </c>
      <c r="J9" s="5">
        <f>(E9*I9)-G9</f>
        <v>1.23</v>
      </c>
      <c r="K9" s="6">
        <f>J9/H9</f>
        <v>0.10008136696501221</v>
      </c>
    </row>
    <row r="10" spans="3:11" x14ac:dyDescent="0.25">
      <c r="C10">
        <v>20228</v>
      </c>
      <c r="D10" t="s">
        <v>5</v>
      </c>
      <c r="E10">
        <v>12</v>
      </c>
      <c r="F10">
        <v>500.98</v>
      </c>
      <c r="G10">
        <v>26</v>
      </c>
      <c r="H10" s="5">
        <f t="shared" ref="H10:H41" si="0">(E10*F10)+G10</f>
        <v>6037.76</v>
      </c>
      <c r="I10">
        <v>0.6</v>
      </c>
      <c r="J10" s="5">
        <f t="shared" ref="J10:J41" si="1">(E10*I10)-G10</f>
        <v>-18.8</v>
      </c>
      <c r="K10" s="6">
        <f t="shared" ref="K10:K41" si="2">J10/H10</f>
        <v>-3.1137375450498196E-3</v>
      </c>
    </row>
    <row r="11" spans="3:11" x14ac:dyDescent="0.25">
      <c r="C11">
        <v>21776</v>
      </c>
      <c r="D11" s="5" t="s">
        <v>6</v>
      </c>
      <c r="E11">
        <v>22</v>
      </c>
      <c r="F11">
        <v>9.48</v>
      </c>
      <c r="G11">
        <v>7.29</v>
      </c>
      <c r="H11" s="5">
        <f t="shared" si="0"/>
        <v>215.85</v>
      </c>
      <c r="I11">
        <v>0.45</v>
      </c>
      <c r="J11" s="5">
        <f t="shared" si="1"/>
        <v>2.6100000000000003</v>
      </c>
      <c r="K11" s="6">
        <f t="shared" si="2"/>
        <v>1.209173036831133E-2</v>
      </c>
    </row>
    <row r="12" spans="3:11" x14ac:dyDescent="0.25">
      <c r="C12">
        <v>24844</v>
      </c>
      <c r="D12" t="s">
        <v>7</v>
      </c>
      <c r="E12">
        <v>16</v>
      </c>
      <c r="F12">
        <v>78.69</v>
      </c>
      <c r="G12">
        <v>19.989999999999998</v>
      </c>
      <c r="H12" s="5">
        <f t="shared" si="0"/>
        <v>1279.03</v>
      </c>
      <c r="I12">
        <v>0.43</v>
      </c>
      <c r="J12" s="5">
        <f t="shared" si="1"/>
        <v>-13.11</v>
      </c>
      <c r="K12" s="6">
        <f t="shared" si="2"/>
        <v>-1.0249955044056824E-2</v>
      </c>
    </row>
    <row r="13" spans="3:11" x14ac:dyDescent="0.25">
      <c r="C13">
        <v>24846</v>
      </c>
      <c r="D13" t="s">
        <v>7</v>
      </c>
      <c r="E13">
        <v>7</v>
      </c>
      <c r="F13">
        <v>3.28</v>
      </c>
      <c r="G13">
        <v>2.31</v>
      </c>
      <c r="H13" s="5">
        <f t="shared" si="0"/>
        <v>25.269999999999996</v>
      </c>
      <c r="I13">
        <v>0.56000000000000005</v>
      </c>
      <c r="J13" s="5">
        <f t="shared" si="1"/>
        <v>1.6100000000000003</v>
      </c>
      <c r="K13" s="6">
        <f t="shared" si="2"/>
        <v>6.3711911357340736E-2</v>
      </c>
    </row>
    <row r="14" spans="3:11" x14ac:dyDescent="0.25">
      <c r="C14">
        <v>24847</v>
      </c>
      <c r="D14" t="s">
        <v>7</v>
      </c>
      <c r="E14">
        <v>4</v>
      </c>
      <c r="F14">
        <v>3.28</v>
      </c>
      <c r="G14">
        <v>4.2</v>
      </c>
      <c r="H14" s="5">
        <f t="shared" si="0"/>
        <v>17.32</v>
      </c>
      <c r="I14">
        <v>0.56000000000000005</v>
      </c>
      <c r="J14" s="5">
        <f t="shared" si="1"/>
        <v>-1.96</v>
      </c>
      <c r="K14" s="6">
        <f t="shared" si="2"/>
        <v>-0.11316397228637413</v>
      </c>
    </row>
    <row r="15" spans="3:11" x14ac:dyDescent="0.25">
      <c r="C15">
        <v>24848</v>
      </c>
      <c r="D15" t="s">
        <v>7</v>
      </c>
      <c r="E15">
        <v>4</v>
      </c>
      <c r="F15">
        <v>3.58</v>
      </c>
      <c r="G15">
        <v>1.63</v>
      </c>
      <c r="H15" s="5">
        <f t="shared" si="0"/>
        <v>15.95</v>
      </c>
      <c r="I15">
        <v>0.36</v>
      </c>
      <c r="J15" s="5">
        <f t="shared" si="1"/>
        <v>-0.18999999999999995</v>
      </c>
      <c r="K15" s="6">
        <f t="shared" si="2"/>
        <v>-1.1912225705329151E-2</v>
      </c>
    </row>
    <row r="16" spans="3:11" x14ac:dyDescent="0.25">
      <c r="C16">
        <v>18181</v>
      </c>
      <c r="D16" t="s">
        <v>6</v>
      </c>
      <c r="E16">
        <v>7</v>
      </c>
      <c r="F16">
        <v>4.42</v>
      </c>
      <c r="G16">
        <v>4.99</v>
      </c>
      <c r="H16" s="5">
        <f t="shared" si="0"/>
        <v>35.93</v>
      </c>
      <c r="I16">
        <v>0.38</v>
      </c>
      <c r="J16" s="5">
        <f t="shared" si="1"/>
        <v>-2.33</v>
      </c>
      <c r="K16" s="6">
        <f t="shared" si="2"/>
        <v>-6.4848316170331197E-2</v>
      </c>
    </row>
    <row r="17" spans="3:11" x14ac:dyDescent="0.25">
      <c r="C17">
        <v>20925</v>
      </c>
      <c r="D17" t="s">
        <v>7</v>
      </c>
      <c r="E17">
        <v>10</v>
      </c>
      <c r="F17">
        <v>35.94</v>
      </c>
      <c r="G17">
        <v>6.66</v>
      </c>
      <c r="H17" s="5">
        <f t="shared" si="0"/>
        <v>366.06</v>
      </c>
      <c r="I17">
        <v>0.4</v>
      </c>
      <c r="J17" s="5">
        <f t="shared" si="1"/>
        <v>-2.66</v>
      </c>
      <c r="K17" s="6">
        <f t="shared" si="2"/>
        <v>-7.2665683221329836E-3</v>
      </c>
    </row>
    <row r="18" spans="3:11" x14ac:dyDescent="0.25">
      <c r="C18">
        <v>26267</v>
      </c>
      <c r="D18" t="s">
        <v>4</v>
      </c>
      <c r="E18">
        <v>6</v>
      </c>
      <c r="F18">
        <v>2.98</v>
      </c>
      <c r="G18">
        <v>1.58</v>
      </c>
      <c r="H18" s="5">
        <f t="shared" si="0"/>
        <v>19.46</v>
      </c>
      <c r="I18">
        <v>0.39</v>
      </c>
      <c r="J18" s="5">
        <f t="shared" si="1"/>
        <v>0.75999999999999979</v>
      </c>
      <c r="K18" s="6">
        <f t="shared" si="2"/>
        <v>3.9054470709146957E-2</v>
      </c>
    </row>
    <row r="19" spans="3:11" x14ac:dyDescent="0.25">
      <c r="C19">
        <v>26268</v>
      </c>
      <c r="D19" t="s">
        <v>4</v>
      </c>
      <c r="E19">
        <v>10</v>
      </c>
      <c r="F19">
        <v>115.99</v>
      </c>
      <c r="G19">
        <v>2.5</v>
      </c>
      <c r="H19" s="5">
        <f t="shared" si="0"/>
        <v>1162.3999999999999</v>
      </c>
      <c r="I19">
        <v>0.55000000000000004</v>
      </c>
      <c r="J19" s="5">
        <f t="shared" si="1"/>
        <v>3</v>
      </c>
      <c r="K19" s="6">
        <f t="shared" si="2"/>
        <v>2.5808671713695806E-3</v>
      </c>
    </row>
    <row r="20" spans="3:11" x14ac:dyDescent="0.25">
      <c r="C20">
        <v>23890</v>
      </c>
      <c r="D20" t="s">
        <v>4</v>
      </c>
      <c r="E20">
        <v>17</v>
      </c>
      <c r="F20">
        <v>26.48</v>
      </c>
      <c r="G20">
        <v>6.93</v>
      </c>
      <c r="H20" s="5">
        <f t="shared" si="0"/>
        <v>457.09000000000003</v>
      </c>
      <c r="I20">
        <v>0.49</v>
      </c>
      <c r="J20" s="5">
        <f t="shared" si="1"/>
        <v>1.4000000000000004</v>
      </c>
      <c r="K20" s="6">
        <f t="shared" si="2"/>
        <v>3.0628541425102283E-3</v>
      </c>
    </row>
    <row r="21" spans="3:11" x14ac:dyDescent="0.25">
      <c r="C21">
        <v>24063</v>
      </c>
      <c r="D21" t="s">
        <v>5</v>
      </c>
      <c r="E21">
        <v>18</v>
      </c>
      <c r="F21">
        <v>12.99</v>
      </c>
      <c r="G21">
        <v>9.44</v>
      </c>
      <c r="H21" s="5">
        <f t="shared" si="0"/>
        <v>243.26</v>
      </c>
      <c r="I21">
        <v>0.39</v>
      </c>
      <c r="J21" s="5">
        <f t="shared" si="1"/>
        <v>-2.419999999999999</v>
      </c>
      <c r="K21" s="6">
        <f t="shared" si="2"/>
        <v>-9.9482035681986315E-3</v>
      </c>
    </row>
    <row r="22" spans="3:11" x14ac:dyDescent="0.25">
      <c r="C22">
        <v>5890</v>
      </c>
      <c r="D22" t="s">
        <v>4</v>
      </c>
      <c r="E22">
        <v>70</v>
      </c>
      <c r="F22">
        <v>26.48</v>
      </c>
      <c r="G22">
        <v>6.93</v>
      </c>
      <c r="H22" s="5">
        <f t="shared" si="0"/>
        <v>1860.5300000000002</v>
      </c>
      <c r="I22">
        <v>0.49</v>
      </c>
      <c r="J22" s="5">
        <f t="shared" si="1"/>
        <v>27.369999999999997</v>
      </c>
      <c r="K22" s="6">
        <f t="shared" si="2"/>
        <v>1.4710861958689187E-2</v>
      </c>
    </row>
    <row r="23" spans="3:11" x14ac:dyDescent="0.25">
      <c r="C23">
        <v>6062</v>
      </c>
      <c r="D23" t="s">
        <v>5</v>
      </c>
      <c r="E23">
        <v>58</v>
      </c>
      <c r="F23">
        <v>5</v>
      </c>
      <c r="G23">
        <v>3.39</v>
      </c>
      <c r="H23" s="5">
        <f t="shared" si="0"/>
        <v>293.39</v>
      </c>
      <c r="I23">
        <v>0.37</v>
      </c>
      <c r="J23" s="5">
        <f t="shared" si="1"/>
        <v>18.07</v>
      </c>
      <c r="K23" s="6">
        <f t="shared" si="2"/>
        <v>6.1590374586727566E-2</v>
      </c>
    </row>
    <row r="24" spans="3:11" x14ac:dyDescent="0.25">
      <c r="C24">
        <v>6063</v>
      </c>
      <c r="D24" t="s">
        <v>5</v>
      </c>
      <c r="E24">
        <v>71</v>
      </c>
      <c r="F24">
        <v>12.99</v>
      </c>
      <c r="G24">
        <v>9.44</v>
      </c>
      <c r="H24" s="5">
        <f t="shared" si="0"/>
        <v>931.73</v>
      </c>
      <c r="I24">
        <v>0.39</v>
      </c>
      <c r="J24" s="5">
        <f t="shared" si="1"/>
        <v>18.25</v>
      </c>
      <c r="K24" s="6">
        <f t="shared" si="2"/>
        <v>1.958721947345261E-2</v>
      </c>
    </row>
    <row r="25" spans="3:11" x14ac:dyDescent="0.25">
      <c r="C25">
        <v>20631</v>
      </c>
      <c r="D25" t="s">
        <v>4</v>
      </c>
      <c r="E25">
        <v>1</v>
      </c>
      <c r="F25">
        <v>55.48</v>
      </c>
      <c r="G25">
        <v>14.3</v>
      </c>
      <c r="H25" s="5">
        <f t="shared" si="0"/>
        <v>69.78</v>
      </c>
      <c r="I25">
        <v>0.37</v>
      </c>
      <c r="J25" s="5">
        <f t="shared" si="1"/>
        <v>-13.930000000000001</v>
      </c>
      <c r="K25" s="6">
        <f t="shared" si="2"/>
        <v>-0.19962740040126112</v>
      </c>
    </row>
    <row r="26" spans="3:11" x14ac:dyDescent="0.25">
      <c r="C26">
        <v>20632</v>
      </c>
      <c r="D26" t="s">
        <v>4</v>
      </c>
      <c r="E26">
        <v>1</v>
      </c>
      <c r="F26">
        <v>1.68</v>
      </c>
      <c r="G26">
        <v>1.57</v>
      </c>
      <c r="H26" s="5">
        <f t="shared" si="0"/>
        <v>3.25</v>
      </c>
      <c r="I26">
        <v>0.59</v>
      </c>
      <c r="J26" s="5">
        <f t="shared" si="1"/>
        <v>-0.98000000000000009</v>
      </c>
      <c r="K26" s="6">
        <f t="shared" si="2"/>
        <v>-0.30153846153846159</v>
      </c>
    </row>
    <row r="27" spans="3:11" x14ac:dyDescent="0.25">
      <c r="C27">
        <v>23967</v>
      </c>
      <c r="D27" t="s">
        <v>5</v>
      </c>
      <c r="E27">
        <v>12</v>
      </c>
      <c r="F27">
        <v>4.1399999999999997</v>
      </c>
      <c r="G27">
        <v>6.6</v>
      </c>
      <c r="H27" s="5">
        <f t="shared" si="0"/>
        <v>56.279999999999994</v>
      </c>
      <c r="I27">
        <v>0.49</v>
      </c>
      <c r="J27" s="5">
        <f t="shared" si="1"/>
        <v>-0.71999999999999975</v>
      </c>
      <c r="K27" s="6">
        <f t="shared" si="2"/>
        <v>-1.2793176972281446E-2</v>
      </c>
    </row>
    <row r="28" spans="3:11" x14ac:dyDescent="0.25">
      <c r="C28">
        <v>23509</v>
      </c>
      <c r="D28" t="s">
        <v>4</v>
      </c>
      <c r="E28">
        <v>13</v>
      </c>
      <c r="F28">
        <v>34.99</v>
      </c>
      <c r="G28">
        <v>7.73</v>
      </c>
      <c r="H28" s="5">
        <f t="shared" si="0"/>
        <v>462.6</v>
      </c>
      <c r="I28">
        <v>0.59</v>
      </c>
      <c r="J28" s="5">
        <f t="shared" si="1"/>
        <v>-6.0000000000000497E-2</v>
      </c>
      <c r="K28" s="6">
        <f t="shared" si="2"/>
        <v>-1.2970168612192064E-4</v>
      </c>
    </row>
    <row r="29" spans="3:11" x14ac:dyDescent="0.25">
      <c r="C29">
        <v>23612</v>
      </c>
      <c r="D29" t="s">
        <v>4</v>
      </c>
      <c r="E29">
        <v>2</v>
      </c>
      <c r="F29">
        <v>17.98</v>
      </c>
      <c r="G29">
        <v>8.51</v>
      </c>
      <c r="H29" s="5">
        <f t="shared" si="0"/>
        <v>44.47</v>
      </c>
      <c r="I29">
        <v>0.4</v>
      </c>
      <c r="J29" s="5">
        <f t="shared" si="1"/>
        <v>-7.71</v>
      </c>
      <c r="K29" s="6">
        <f t="shared" si="2"/>
        <v>-0.17337530919721161</v>
      </c>
    </row>
    <row r="30" spans="3:11" x14ac:dyDescent="0.25">
      <c r="C30">
        <v>23278</v>
      </c>
      <c r="D30" t="s">
        <v>7</v>
      </c>
      <c r="E30">
        <v>8</v>
      </c>
      <c r="F30">
        <v>125.99</v>
      </c>
      <c r="G30">
        <v>7.69</v>
      </c>
      <c r="H30" s="5">
        <f t="shared" si="0"/>
        <v>1015.61</v>
      </c>
      <c r="I30">
        <v>0.59</v>
      </c>
      <c r="J30" s="5">
        <f t="shared" si="1"/>
        <v>-2.9700000000000006</v>
      </c>
      <c r="K30" s="6">
        <f t="shared" si="2"/>
        <v>-2.9243508827207299E-3</v>
      </c>
    </row>
    <row r="31" spans="3:11" x14ac:dyDescent="0.25">
      <c r="C31">
        <v>19355</v>
      </c>
      <c r="D31" t="s">
        <v>8</v>
      </c>
      <c r="E31">
        <v>22</v>
      </c>
      <c r="F31">
        <v>205.99</v>
      </c>
      <c r="G31">
        <v>8.99</v>
      </c>
      <c r="H31" s="5">
        <f t="shared" si="0"/>
        <v>4540.7700000000004</v>
      </c>
      <c r="I31">
        <v>0.56000000000000005</v>
      </c>
      <c r="J31" s="5">
        <f t="shared" si="1"/>
        <v>3.33</v>
      </c>
      <c r="K31" s="6">
        <f t="shared" si="2"/>
        <v>7.3335579648385618E-4</v>
      </c>
    </row>
    <row r="32" spans="3:11" x14ac:dyDescent="0.25">
      <c r="C32">
        <v>23654</v>
      </c>
      <c r="D32" t="s">
        <v>5</v>
      </c>
      <c r="E32">
        <v>13</v>
      </c>
      <c r="F32">
        <v>4.24</v>
      </c>
      <c r="G32">
        <v>5.41</v>
      </c>
      <c r="H32" s="5">
        <f t="shared" si="0"/>
        <v>60.53</v>
      </c>
      <c r="I32">
        <v>0.35</v>
      </c>
      <c r="J32" s="5">
        <f t="shared" si="1"/>
        <v>-0.86000000000000032</v>
      </c>
      <c r="K32" s="6">
        <f t="shared" si="2"/>
        <v>-1.4207830827688754E-2</v>
      </c>
    </row>
    <row r="33" spans="3:11" x14ac:dyDescent="0.25">
      <c r="C33">
        <v>23655</v>
      </c>
      <c r="D33" t="s">
        <v>5</v>
      </c>
      <c r="E33">
        <v>18</v>
      </c>
      <c r="F33">
        <v>2.94</v>
      </c>
      <c r="G33">
        <v>0.7</v>
      </c>
      <c r="H33" s="5">
        <f t="shared" si="0"/>
        <v>53.620000000000005</v>
      </c>
      <c r="I33">
        <v>0.57999999999999996</v>
      </c>
      <c r="J33" s="5">
        <f t="shared" si="1"/>
        <v>9.74</v>
      </c>
      <c r="K33" s="6">
        <f t="shared" si="2"/>
        <v>0.18164863856769861</v>
      </c>
    </row>
    <row r="34" spans="3:11" x14ac:dyDescent="0.25">
      <c r="C34">
        <v>25933</v>
      </c>
      <c r="D34" t="s">
        <v>4</v>
      </c>
      <c r="E34">
        <v>6</v>
      </c>
      <c r="F34">
        <v>99.99</v>
      </c>
      <c r="G34">
        <v>19.989999999999998</v>
      </c>
      <c r="H34" s="5">
        <f t="shared" si="0"/>
        <v>619.92999999999995</v>
      </c>
      <c r="I34">
        <v>0.52</v>
      </c>
      <c r="J34" s="5">
        <f t="shared" si="1"/>
        <v>-16.869999999999997</v>
      </c>
      <c r="K34" s="6">
        <f t="shared" si="2"/>
        <v>-2.7212749826593323E-2</v>
      </c>
    </row>
    <row r="35" spans="3:11" x14ac:dyDescent="0.25">
      <c r="C35">
        <v>20697</v>
      </c>
      <c r="D35" t="s">
        <v>7</v>
      </c>
      <c r="E35">
        <v>6</v>
      </c>
      <c r="F35">
        <v>115.99</v>
      </c>
      <c r="G35">
        <v>2.5</v>
      </c>
      <c r="H35" s="5">
        <f t="shared" si="0"/>
        <v>698.43999999999994</v>
      </c>
      <c r="I35">
        <v>0.56999999999999995</v>
      </c>
      <c r="J35" s="5">
        <f t="shared" si="1"/>
        <v>0.91999999999999993</v>
      </c>
      <c r="K35" s="6">
        <f t="shared" si="2"/>
        <v>1.3172212358971422E-3</v>
      </c>
    </row>
    <row r="36" spans="3:11" x14ac:dyDescent="0.25">
      <c r="C36">
        <v>20698</v>
      </c>
      <c r="D36" t="s">
        <v>7</v>
      </c>
      <c r="E36">
        <v>1</v>
      </c>
      <c r="F36">
        <v>3502.14</v>
      </c>
      <c r="G36">
        <v>8.73</v>
      </c>
      <c r="H36" s="5">
        <f t="shared" si="0"/>
        <v>3510.87</v>
      </c>
      <c r="I36">
        <v>0.56999999999999995</v>
      </c>
      <c r="J36" s="5">
        <f t="shared" si="1"/>
        <v>-8.16</v>
      </c>
      <c r="K36" s="6">
        <f t="shared" si="2"/>
        <v>-2.3242102384878963E-3</v>
      </c>
    </row>
    <row r="37" spans="3:11" x14ac:dyDescent="0.25">
      <c r="C37">
        <v>22890</v>
      </c>
      <c r="D37" t="s">
        <v>4</v>
      </c>
      <c r="E37">
        <v>17</v>
      </c>
      <c r="F37">
        <v>175.99</v>
      </c>
      <c r="G37">
        <v>5.79</v>
      </c>
      <c r="H37" s="5">
        <f t="shared" si="0"/>
        <v>2997.62</v>
      </c>
      <c r="I37">
        <v>0.36</v>
      </c>
      <c r="J37" s="5">
        <f t="shared" si="1"/>
        <v>0.33000000000000007</v>
      </c>
      <c r="K37" s="6">
        <f t="shared" si="2"/>
        <v>1.1008733595318956E-4</v>
      </c>
    </row>
    <row r="38" spans="3:11" x14ac:dyDescent="0.25">
      <c r="C38">
        <v>25354</v>
      </c>
      <c r="D38" t="s">
        <v>4</v>
      </c>
      <c r="E38">
        <v>20</v>
      </c>
      <c r="F38">
        <v>155.06</v>
      </c>
      <c r="G38">
        <v>1.49</v>
      </c>
      <c r="H38" s="5">
        <f t="shared" si="0"/>
        <v>3102.6899999999996</v>
      </c>
      <c r="I38">
        <v>0.38</v>
      </c>
      <c r="J38" s="5">
        <f t="shared" si="1"/>
        <v>6.1099999999999994</v>
      </c>
      <c r="K38" s="6">
        <f t="shared" si="2"/>
        <v>1.9692589333771661E-3</v>
      </c>
    </row>
    <row r="39" spans="3:11" x14ac:dyDescent="0.25">
      <c r="C39">
        <v>21017</v>
      </c>
      <c r="D39" t="s">
        <v>5</v>
      </c>
      <c r="E39">
        <v>17</v>
      </c>
      <c r="F39">
        <v>5.98</v>
      </c>
      <c r="G39">
        <v>0.7</v>
      </c>
      <c r="H39" s="5">
        <f t="shared" si="0"/>
        <v>102.36000000000001</v>
      </c>
      <c r="I39">
        <v>0.56000000000000005</v>
      </c>
      <c r="J39" s="5">
        <f t="shared" si="1"/>
        <v>8.8200000000000021</v>
      </c>
      <c r="K39" s="6">
        <f t="shared" si="2"/>
        <v>8.616647127784291E-2</v>
      </c>
    </row>
    <row r="40" spans="3:11" x14ac:dyDescent="0.25">
      <c r="C40">
        <v>21019</v>
      </c>
      <c r="D40" t="s">
        <v>5</v>
      </c>
      <c r="E40">
        <v>3</v>
      </c>
      <c r="F40">
        <v>29.14</v>
      </c>
      <c r="G40">
        <v>5.15</v>
      </c>
      <c r="H40" s="5">
        <f t="shared" si="0"/>
        <v>92.570000000000007</v>
      </c>
      <c r="I40">
        <v>0.36</v>
      </c>
      <c r="J40" s="5">
        <f t="shared" si="1"/>
        <v>-4.07</v>
      </c>
      <c r="K40" s="6">
        <f t="shared" si="2"/>
        <v>-4.3966727881603114E-2</v>
      </c>
    </row>
    <row r="41" spans="3:11" x14ac:dyDescent="0.25">
      <c r="C41">
        <v>23274</v>
      </c>
      <c r="D41" t="s">
        <v>8</v>
      </c>
      <c r="E41">
        <v>17</v>
      </c>
      <c r="F41">
        <v>3.69</v>
      </c>
      <c r="G41">
        <v>4.8600000000000003</v>
      </c>
      <c r="H41" s="5">
        <f t="shared" si="0"/>
        <v>67.59</v>
      </c>
      <c r="I41">
        <v>0.38</v>
      </c>
      <c r="J41" s="5">
        <f t="shared" si="1"/>
        <v>1.5999999999999996</v>
      </c>
      <c r="K41" s="6">
        <f t="shared" si="2"/>
        <v>2.3672140849238046E-2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2015-06-05T18:17:20Z</dcterms:created>
  <dcterms:modified xsi:type="dcterms:W3CDTF">2024-02-04T06:19:44Z</dcterms:modified>
</cp:coreProperties>
</file>